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omponents" sheetId="2" state="visible" r:id="rId4"/>
    <sheet name="Tech Stack" sheetId="3" state="visible" r:id="rId5"/>
    <sheet name="Integrations" sheetId="4" state="visible" r:id="rId6"/>
    <sheet name="Phasing" sheetId="5" state="visible" r:id="rId7"/>
    <sheet name="Design Notes" sheetId="6" state="visible" r:id="rId8"/>
  </sheets>
  <definedNames>
    <definedName function="false" hidden="true" localSheetId="1" name="_xlnm._FilterDatabase" vbProcedure="false">Components!$A$4:$H$38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<sst xmlns="http://schemas.openxmlformats.org/spreadsheetml/2006/main" count="442" uniqueCount="280">
  <si>
    <t xml:space="preserve">Sistem Pengurusan Masjid Johor: System architecture</t>
  </si>
  <si>
    <t xml:space="preserve">Companion workbook to the layered architecture and hosting diagrams (Sept 2026). Proposal for discussion, not a final design.</t>
  </si>
  <si>
    <t xml:space="preserve">Purpose</t>
  </si>
  <si>
    <t xml:space="preserve">Inventory of the platform's components, technology choices, integrations, phasing and design decisions, so the architecture can be filtered, reviewed and costed.</t>
  </si>
  <si>
    <t xml:space="preserve">Component counts (formulas read from the Components sheet)</t>
  </si>
  <si>
    <t xml:space="preserve">By category</t>
  </si>
  <si>
    <t xml:space="preserve">Count</t>
  </si>
  <si>
    <t xml:space="preserve">Revenue module</t>
  </si>
  <si>
    <t xml:space="preserve">Governance module</t>
  </si>
  <si>
    <t xml:space="preserve">Platform and data</t>
  </si>
  <si>
    <t xml:space="preserve">External system</t>
  </si>
  <si>
    <t xml:space="preserve">Hosting and operations</t>
  </si>
  <si>
    <t xml:space="preserve">Security layer</t>
  </si>
  <si>
    <t xml:space="preserve">Total components</t>
  </si>
  <si>
    <t xml:space="preserve">Check: total equals row count of Components</t>
  </si>
  <si>
    <t xml:space="preserve">By layer</t>
  </si>
  <si>
    <t xml:space="preserve">Layer</t>
  </si>
  <si>
    <t xml:space="preserve">Channels</t>
  </si>
  <si>
    <t xml:space="preserve">Edge</t>
  </si>
  <si>
    <t xml:space="preserve">Application services</t>
  </si>
  <si>
    <t xml:space="preserve">Platform services</t>
  </si>
  <si>
    <t xml:space="preserve">Data</t>
  </si>
  <si>
    <t xml:space="preserve">External systems</t>
  </si>
  <si>
    <t xml:space="preserve">Hosting</t>
  </si>
  <si>
    <t xml:space="preserve">Security</t>
  </si>
  <si>
    <t xml:space="preserve">Total</t>
  </si>
  <si>
    <t xml:space="preserve">Sheet guide</t>
  </si>
  <si>
    <t xml:space="preserve">Components</t>
  </si>
  <si>
    <t xml:space="preserve">All 34 boxes from the two diagrams, with layer, category, phase and basis</t>
  </si>
  <si>
    <t xml:space="preserve">Tech Stack</t>
  </si>
  <si>
    <t xml:space="preserve">Suggested technologies by layer, with rationale and alternatives</t>
  </si>
  <si>
    <t xml:space="preserve">Integrations</t>
  </si>
  <si>
    <t xml:space="preserve">External systems the platform connects to</t>
  </si>
  <si>
    <t xml:space="preserve">Phasing</t>
  </si>
  <si>
    <t xml:space="preserve">Component count and scope by delivery phase (formulas)</t>
  </si>
  <si>
    <t xml:space="preserve">Design Notes</t>
  </si>
  <si>
    <t xml:space="preserve">Key architecture decisions and why</t>
  </si>
  <si>
    <t xml:space="preserve">Colour key (Category column on Components)</t>
  </si>
  <si>
    <t xml:space="preserve">Component inventory</t>
  </si>
  <si>
    <t xml:space="preserve">Every box in the two architecture diagrams. Phase column is filterable. Source: system architecture answer (Sept 2026).</t>
  </si>
  <si>
    <t xml:space="preserve">ID</t>
  </si>
  <si>
    <t xml:space="preserve">Component</t>
  </si>
  <si>
    <t xml:space="preserve">Sub-label</t>
  </si>
  <si>
    <t xml:space="preserve">Role</t>
  </si>
  <si>
    <t xml:space="preserve">Category</t>
  </si>
  <si>
    <t xml:space="preserve">Phase</t>
  </si>
  <si>
    <t xml:space="preserve">Phase basis</t>
  </si>
  <si>
    <t xml:space="preserve">C01</t>
  </si>
  <si>
    <t xml:space="preserve">Mosque portal</t>
  </si>
  <si>
    <t xml:space="preserve">Admin web app</t>
  </si>
  <si>
    <t xml:space="preserve">Web app for mosque admins, secretaries and treasurers: records, finance, programs</t>
  </si>
  <si>
    <t xml:space="preserve">Phase 1</t>
  </si>
  <si>
    <t xml:space="preserve">Stated</t>
  </si>
  <si>
    <t xml:space="preserve">C02</t>
  </si>
  <si>
    <t xml:space="preserve">Jemaah app</t>
  </si>
  <si>
    <t xml:space="preserve">Mobile web, PWA</t>
  </si>
  <si>
    <t xml:space="preserve">Donations, qurban orders, Quran class booking, public transparency pages</t>
  </si>
  <si>
    <t xml:space="preserve">Phase 2</t>
  </si>
  <si>
    <t xml:space="preserve">Assumption</t>
  </si>
  <si>
    <t xml:space="preserve">C03</t>
  </si>
  <si>
    <t xml:space="preserve">JAINJ console</t>
  </si>
  <si>
    <t xml:space="preserve">Oversight views</t>
  </si>
  <si>
    <t xml:space="preserve">State and district dashboards, scores, alerts (basic views first, full scoring views in Phase 3)</t>
  </si>
  <si>
    <t xml:space="preserve">C04</t>
  </si>
  <si>
    <t xml:space="preserve">Tutor app</t>
  </si>
  <si>
    <t xml:space="preserve">Slots, payouts</t>
  </si>
  <si>
    <t xml:space="preserve">Ustaz and ustazah manage availability, bookings and payouts</t>
  </si>
  <si>
    <t xml:space="preserve">E01</t>
  </si>
  <si>
    <t xml:space="preserve">API gateway, WAF and identity</t>
  </si>
  <si>
    <t xml:space="preserve">SSO, MFA, role-based access</t>
  </si>
  <si>
    <t xml:space="preserve">Single entry point and one identity model for all roles; MFA for officer roles</t>
  </si>
  <si>
    <t xml:space="preserve">S01</t>
  </si>
  <si>
    <t xml:space="preserve">Registry</t>
  </si>
  <si>
    <t xml:space="preserve">Mosques, AJK</t>
  </si>
  <si>
    <t xml:space="preserve">Mosque profiles, committee terms and members, officers, meetings</t>
  </si>
  <si>
    <t xml:space="preserve">S02</t>
  </si>
  <si>
    <t xml:space="preserve">Finance</t>
  </si>
  <si>
    <t xml:space="preserve">Ledger, reports</t>
  </si>
  <si>
    <t xml:space="preserve">Income and expense ledger, monthly report workflow, audit records</t>
  </si>
  <si>
    <t xml:space="preserve">S03</t>
  </si>
  <si>
    <t xml:space="preserve">Maintenance</t>
  </si>
  <si>
    <t xml:space="preserve">Assets, repairs</t>
  </si>
  <si>
    <t xml:space="preserve">Asset register, maintenance requests, inspections</t>
  </si>
  <si>
    <t xml:space="preserve">S04</t>
  </si>
  <si>
    <t xml:space="preserve">Projects</t>
  </si>
  <si>
    <t xml:space="preserve">Renovation</t>
  </si>
  <si>
    <t xml:space="preserve">Renovation proposals, approval workflow, budget vs actual</t>
  </si>
  <si>
    <t xml:space="preserve">Assumption (matches business plan phasing)</t>
  </si>
  <si>
    <t xml:space="preserve">S05</t>
  </si>
  <si>
    <t xml:space="preserve">Kuliah</t>
  </si>
  <si>
    <t xml:space="preserve">Programs</t>
  </si>
  <si>
    <t xml:space="preserve">Scheduling, kuliah types, speaker tauliah checks, attendance</t>
  </si>
  <si>
    <t xml:space="preserve">S06</t>
  </si>
  <si>
    <t xml:space="preserve">Donations</t>
  </si>
  <si>
    <t xml:space="preserve">QR, FPX, cards</t>
  </si>
  <si>
    <t xml:space="preserve">Campaigns, recurring gifts, reconciliation to TPMJ</t>
  </si>
  <si>
    <t xml:space="preserve">S07</t>
  </si>
  <si>
    <t xml:space="preserve">Qurban</t>
  </si>
  <si>
    <t xml:space="preserve">Orders, packs</t>
  </si>
  <si>
    <t xml:space="preserve">Orders and payment, permission status, distribution records</t>
  </si>
  <si>
    <t xml:space="preserve">S08</t>
  </si>
  <si>
    <t xml:space="preserve">Quran booking</t>
  </si>
  <si>
    <t xml:space="preserve">Hourly slots</t>
  </si>
  <si>
    <t xml:space="preserve">Slot engine with slot locking; pricing by hours and number of students; tutor vetting</t>
  </si>
  <si>
    <t xml:space="preserve">P01</t>
  </si>
  <si>
    <t xml:space="preserve">Scoring engine</t>
  </si>
  <si>
    <t xml:space="preserve">Monthly score</t>
  </si>
  <si>
    <t xml:space="preserve">Computes monthly 0 to 100 score from other services' data; reads only, writes to Analytics DB</t>
  </si>
  <si>
    <t xml:space="preserve">Phase 3</t>
  </si>
  <si>
    <t xml:space="preserve">P02</t>
  </si>
  <si>
    <t xml:space="preserve">Notifications</t>
  </si>
  <si>
    <t xml:space="preserve">SMS, WhatsApp</t>
  </si>
  <si>
    <t xml:space="preserve">Reminders, receipts, alerts</t>
  </si>
  <si>
    <t xml:space="preserve">P03</t>
  </si>
  <si>
    <t xml:space="preserve">Documents</t>
  </si>
  <si>
    <t xml:space="preserve">PDF receipts</t>
  </si>
  <si>
    <t xml:space="preserve">Receipts, letters, generated documents</t>
  </si>
  <si>
    <t xml:space="preserve">P04</t>
  </si>
  <si>
    <t xml:space="preserve">Audit trail</t>
  </si>
  <si>
    <t xml:space="preserve">Immutable log</t>
  </si>
  <si>
    <t xml:space="preserve">Append-only record of changes and access</t>
  </si>
  <si>
    <t xml:space="preserve">D01</t>
  </si>
  <si>
    <t xml:space="preserve">PostgreSQL</t>
  </si>
  <si>
    <t xml:space="preserve">Core records</t>
  </si>
  <si>
    <t xml:space="preserve">Primary transactional database</t>
  </si>
  <si>
    <t xml:space="preserve">D02</t>
  </si>
  <si>
    <t xml:space="preserve">Object storage</t>
  </si>
  <si>
    <t xml:space="preserve">Files, receipts</t>
  </si>
  <si>
    <t xml:space="preserve">Receipts, appointment letters, uploads</t>
  </si>
  <si>
    <t xml:space="preserve">D03</t>
  </si>
  <si>
    <t xml:space="preserve">Analytics DB</t>
  </si>
  <si>
    <t xml:space="preserve">Scores, trends</t>
  </si>
  <si>
    <t xml:space="preserve">Score snapshots and dashboard data</t>
  </si>
  <si>
    <t xml:space="preserve">D04</t>
  </si>
  <si>
    <t xml:space="preserve">Cache, queue</t>
  </si>
  <si>
    <t xml:space="preserve">Sessions, jobs</t>
  </si>
  <si>
    <t xml:space="preserve">Sessions, background jobs, scoring runs</t>
  </si>
  <si>
    <t xml:space="preserve">X01</t>
  </si>
  <si>
    <t xml:space="preserve">Payment gateway</t>
  </si>
  <si>
    <t xml:space="preserve">Licensed gateway with split settlement to mosque or tutor</t>
  </si>
  <si>
    <t xml:space="preserve">X02</t>
  </si>
  <si>
    <t xml:space="preserve">TPMJ</t>
  </si>
  <si>
    <t xml:space="preserve">Donation sync</t>
  </si>
  <si>
    <t xml:space="preserve">Donation reconciliation with the state fund</t>
  </si>
  <si>
    <t xml:space="preserve">X03</t>
  </si>
  <si>
    <t xml:space="preserve">JAINJ data</t>
  </si>
  <si>
    <t xml:space="preserve">Mosques, tauliah</t>
  </si>
  <si>
    <t xml:space="preserve">Registered mosque list and tauliah holders</t>
  </si>
  <si>
    <t xml:space="preserve">X04</t>
  </si>
  <si>
    <t xml:space="preserve">Messaging</t>
  </si>
  <si>
    <t xml:space="preserve">Delivery channel for notifications</t>
  </si>
  <si>
    <t xml:space="preserve">H01</t>
  </si>
  <si>
    <t xml:space="preserve">App cluster</t>
  </si>
  <si>
    <t xml:space="preserve">Autoscaling</t>
  </si>
  <si>
    <t xml:space="preserve">Runs the application; autoscaling for peak periods</t>
  </si>
  <si>
    <t xml:space="preserve">H02</t>
  </si>
  <si>
    <t xml:space="preserve">Primary DB</t>
  </si>
  <si>
    <t xml:space="preserve">Encrypted</t>
  </si>
  <si>
    <t xml:space="preserve">Encrypted primary database</t>
  </si>
  <si>
    <t xml:space="preserve">H03</t>
  </si>
  <si>
    <t xml:space="preserve">Standby DB</t>
  </si>
  <si>
    <t xml:space="preserve">Failover copy</t>
  </si>
  <si>
    <t xml:space="preserve">Replica for failover</t>
  </si>
  <si>
    <t xml:space="preserve">H04</t>
  </si>
  <si>
    <t xml:space="preserve">Object store</t>
  </si>
  <si>
    <t xml:space="preserve">Files, backups</t>
  </si>
  <si>
    <t xml:space="preserve">Hosting for files and backups</t>
  </si>
  <si>
    <t xml:space="preserve">H05</t>
  </si>
  <si>
    <t xml:space="preserve">CI/CD</t>
  </si>
  <si>
    <t xml:space="preserve">Staged releases</t>
  </si>
  <si>
    <t xml:space="preserve">Automated, staged releases</t>
  </si>
  <si>
    <t xml:space="preserve">H06</t>
  </si>
  <si>
    <t xml:space="preserve">Monitoring</t>
  </si>
  <si>
    <t xml:space="preserve">Logs, alerts</t>
  </si>
  <si>
    <t xml:space="preserve">Logging and alerting</t>
  </si>
  <si>
    <t xml:space="preserve">H07</t>
  </si>
  <si>
    <t xml:space="preserve">WAF and DDoS</t>
  </si>
  <si>
    <t xml:space="preserve">Edge protection</t>
  </si>
  <si>
    <t xml:space="preserve">H08</t>
  </si>
  <si>
    <t xml:space="preserve">DR site</t>
  </si>
  <si>
    <t xml:space="preserve">Second region</t>
  </si>
  <si>
    <t xml:space="preserve">Disaster recovery in a second region</t>
  </si>
  <si>
    <t xml:space="preserve">SEC1</t>
  </si>
  <si>
    <t xml:space="preserve">Security and compliance</t>
  </si>
  <si>
    <t xml:space="preserve">KMS, MFA, PDPA, pen tests</t>
  </si>
  <si>
    <t xml:space="preserve">Key management, MFA, PDPA controls, penetration testing</t>
  </si>
  <si>
    <t xml:space="preserve">Phase basis: 'Stated' = phase given in the architecture answer. 'Assumption' = consultant's placement, aligned to the business plan phasing; confirm in Phase 0.</t>
  </si>
  <si>
    <t xml:space="preserve">Suggested technology stack</t>
  </si>
  <si>
    <t xml:space="preserve">All choices are suggestions and replaceable; none is a requirement. To be confirmed during Phase 0 vendor selection.</t>
  </si>
  <si>
    <t xml:space="preserve">Suggested choice</t>
  </si>
  <si>
    <t xml:space="preserve">Why</t>
  </si>
  <si>
    <t xml:space="preserve">Alternatives to consider</t>
  </si>
  <si>
    <t xml:space="preserve">Web and mobile</t>
  </si>
  <si>
    <t xml:space="preserve">React or Next.js as a PWA, Bahasa Melayu first</t>
  </si>
  <si>
    <t xml:space="preserve">One codebase for volunteers' phones and desktops; works on weak connections</t>
  </si>
  <si>
    <t xml:space="preserve">Vue or Angular PWA; native apps later for the Jemaah and Tutor channels</t>
  </si>
  <si>
    <t xml:space="preserve">Backend</t>
  </si>
  <si>
    <t xml:space="preserve">Node.js (NestJS) or Java (Spring Boot), modular monolith</t>
  </si>
  <si>
    <t xml:space="preserve">Common skills in Malaysia; easy to split into services later</t>
  </si>
  <si>
    <t xml:space="preserve">Python (Django), .NET</t>
  </si>
  <si>
    <t xml:space="preserve">Database</t>
  </si>
  <si>
    <t xml:space="preserve">Matches the schema already delivered; strong transaction integrity for finance</t>
  </si>
  <si>
    <t xml:space="preserve">Managed PostgreSQL from the chosen cloud region</t>
  </si>
  <si>
    <t xml:space="preserve">Cache and jobs</t>
  </si>
  <si>
    <t xml:space="preserve">Redis with a job queue</t>
  </si>
  <si>
    <t xml:space="preserve">Receipts, reminders and monthly scoring runs</t>
  </si>
  <si>
    <t xml:space="preserve">Managed queue service of the chosen cloud</t>
  </si>
  <si>
    <t xml:space="preserve">Government-approved cloud region in Malaysia; containers; infrastructure as code</t>
  </si>
  <si>
    <t xml:space="preserve">Data residency and repeatable deployments</t>
  </si>
  <si>
    <t xml:space="preserve">Government data centre or private cloud, subject to state ICT requirements</t>
  </si>
  <si>
    <t xml:space="preserve">Payments</t>
  </si>
  <si>
    <t xml:space="preserve">Licensed payment gateway with split settlement</t>
  </si>
  <si>
    <t xml:space="preserve">Funds go to the mosque or tutor directly and platform commission is deducted at source, so PIJ Holdings or the SPV never holds donor money</t>
  </si>
  <si>
    <t xml:space="preserve">Two gateways for redundancy (one primary, one fallback)</t>
  </si>
  <si>
    <t xml:space="preserve">External integrations</t>
  </si>
  <si>
    <t xml:space="preserve">Data exchanged and open points are proposals to be confirmed in Phase 0.</t>
  </si>
  <si>
    <t xml:space="preserve">System</t>
  </si>
  <si>
    <t xml:space="preserve">Direction</t>
  </si>
  <si>
    <t xml:space="preserve">Data exchanged (proposed)</t>
  </si>
  <si>
    <t xml:space="preserve">Key dependency or open point</t>
  </si>
  <si>
    <t xml:space="preserve">Two-way</t>
  </si>
  <si>
    <t xml:space="preserve">Take donations, qurban and Quran booking payments (DuitNow QR, FPX, cards)</t>
  </si>
  <si>
    <t xml:space="preserve">Payment requests, status callbacks, settlement files</t>
  </si>
  <si>
    <t xml:space="preserve">Licensed gateway with split settlement; settlement to mosque or tutor accounts, never through PIJ Holdings</t>
  </si>
  <si>
    <t xml:space="preserve">Reconcile online donations with the state fund</t>
  </si>
  <si>
    <t xml:space="preserve">Donation records, reconciliation reports</t>
  </si>
  <si>
    <t xml:space="preserve">Integration terms and any exclusivity on collection channels to be confirmed</t>
  </si>
  <si>
    <t xml:space="preserve">Mostly inbound</t>
  </si>
  <si>
    <t xml:space="preserve">Master data for mosques and speaker credentials</t>
  </si>
  <si>
    <t xml:space="preserve">Registered mosque list, tauliah holders</t>
  </si>
  <si>
    <t xml:space="preserve">Ownership of the authoritative tauliah list and whether an API exists</t>
  </si>
  <si>
    <t xml:space="preserve">Mostly outbound</t>
  </si>
  <si>
    <t xml:space="preserve">Deliver reminders, receipts and alerts</t>
  </si>
  <si>
    <t xml:space="preserve">SMS and WhatsApp messages, delivery status</t>
  </si>
  <si>
    <t xml:space="preserve">Provider selection; message templates and consent</t>
  </si>
  <si>
    <t xml:space="preserve">Delivery phasing</t>
  </si>
  <si>
    <t xml:space="preserve">Component counts are formulas on the Components sheet. Phases align with the business plan (core pilot, money and community, scoring).</t>
  </si>
  <si>
    <t xml:space="preserve">Aligned business plan phase</t>
  </si>
  <si>
    <t xml:space="preserve">Scope in this phase</t>
  </si>
  <si>
    <t xml:space="preserve">Components (count)</t>
  </si>
  <si>
    <t xml:space="preserve">Cumulative components</t>
  </si>
  <si>
    <t xml:space="preserve">Core pilot</t>
  </si>
  <si>
    <t xml:space="preserve">Registry, Finance, Maintenance, Kuliah, gateway and identity, core data stores, hosting and security baseline</t>
  </si>
  <si>
    <t xml:space="preserve">Money and community</t>
  </si>
  <si>
    <t xml:space="preserve">Donations, Qurban, Quran booking, Projects (renovation), payment and TPMJ integrations, Jemaah and Tutor apps, DR site</t>
  </si>
  <si>
    <t xml:space="preserve">Scoring and scale-up</t>
  </si>
  <si>
    <t xml:space="preserve">Scoring engine and analytics store</t>
  </si>
  <si>
    <t xml:space="preserve">Check</t>
  </si>
  <si>
    <t xml:space="preserve">Placement of Projects, channels, notifications, documents, audit trail and the DR site is a consultant assumption aligned to the business plan; see Phase basis on Components.</t>
  </si>
  <si>
    <t xml:space="preserve">Key design decisions</t>
  </si>
  <si>
    <t xml:space="preserve">From the architecture answer. Rationale is the consultant's; for review with the technical team.</t>
  </si>
  <si>
    <t xml:space="preserve">#</t>
  </si>
  <si>
    <t xml:space="preserve">Topic</t>
  </si>
  <si>
    <t xml:space="preserve">Decision</t>
  </si>
  <si>
    <t xml:space="preserve">Rationale</t>
  </si>
  <si>
    <t xml:space="preserve">Deployment style</t>
  </si>
  <si>
    <t xml:space="preserve">Modular monolith first: run the eight services as modules of one deployable application during the pilot</t>
  </si>
  <si>
    <t xml:space="preserve">Cheaper to build and operate; split Donations and Quran booking into separate services only when Ramadan and qurban traffic justify it</t>
  </si>
  <si>
    <t xml:space="preserve">Identity</t>
  </si>
  <si>
    <t xml:space="preserve">One identity model for mosque admins, district officers, JAINJ officers, auditors, jemaah and tutors, with role-based access; MFA for officer roles</t>
  </si>
  <si>
    <t xml:space="preserve">Single place to manage access and audit it</t>
  </si>
  <si>
    <t xml:space="preserve">Scoring isolation</t>
  </si>
  <si>
    <t xml:space="preserve">The Scoring engine reads other services' data and writes only to the Analytics DB</t>
  </si>
  <si>
    <t xml:space="preserve">A scoring error can never corrupt a mosque's financial records</t>
  </si>
  <si>
    <t xml:space="preserve">Funds handling</t>
  </si>
  <si>
    <t xml:space="preserve">Payments settle through a licensed gateway with split settlement; platform commission deducted at source</t>
  </si>
  <si>
    <t xml:space="preserve">PIJ Holdings or the SPV never holds donor or tutor money</t>
  </si>
  <si>
    <t xml:space="preserve">Slot engine locks a time slot while a parent pays; pricing is hourly rate multiplied by hours, with a tier by number of students; tutors vetted for tauliah or equivalent before listing; guardian consent step for bookings with minors</t>
  </si>
  <si>
    <t xml:space="preserve">Prevents double booking, supports the by-the-hour and by-students billing, and addresses safeguarding</t>
  </si>
  <si>
    <t xml:space="preserve">Peak load</t>
  </si>
  <si>
    <t xml:space="preserve">Autoscaling, a change freeze before Ramadan and qurban cutoffs, load tests in Phase 1</t>
  </si>
  <si>
    <t xml:space="preserve">Traffic spikes on Fridays, in Ramadan and before qurban cutoffs</t>
  </si>
  <si>
    <t xml:space="preserve">Availability</t>
  </si>
  <si>
    <t xml:space="preserve">Target 99.5% availability</t>
  </si>
  <si>
    <t xml:space="preserve">Figure carried over from the business plan</t>
  </si>
  <si>
    <t xml:space="preserve">Data residency</t>
  </si>
  <si>
    <t xml:space="preserve">Hosting in a Malaysian cloud region so data stays in-country; DR in a second region</t>
  </si>
  <si>
    <t xml:space="preserve">Government and PDPA expectations; exact requirements to be confirmed in Phase 0</t>
  </si>
  <si>
    <t xml:space="preserve">Phase 1 core governance modules and data stores; Phase 2 revenue modules; Phase 3 scoring and analytics</t>
  </si>
  <si>
    <t xml:space="preserve">Matches the funding gates in the business plan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</si>
</sst>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5D3B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B5D3B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C3489"/>
      <name val="Arial"/>
      <family val="0"/>
      <charset val="1"/>
    </font>
    <font>
      <b val="true"/>
      <sz val="10"/>
      <color rgb="FF085041"/>
      <name val="Arial"/>
      <family val="0"/>
      <charset val="1"/>
    </font>
    <font>
      <b val="true"/>
      <sz val="10"/>
      <color rgb="FF444441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5D3B"/>
        <bgColor rgb="FF085041"/>
      </patternFill>
    </fill>
    <fill>
      <patternFill patternType="solid">
        <fgColor rgb="FFEEEDFE"/>
        <bgColor rgb="FFE8F1EC"/>
      </patternFill>
    </fill>
    <fill>
      <patternFill patternType="solid">
        <fgColor rgb="FFE1F5EE"/>
        <bgColor rgb="FFE8F1EC"/>
      </patternFill>
    </fill>
    <fill>
      <patternFill patternType="solid">
        <fgColor rgb="FFF1EFE8"/>
        <bgColor rgb="FFE8F1EC"/>
      </patternFill>
    </fill>
    <fill>
      <patternFill patternType="solid">
        <fgColor rgb="FFE8F1EC"/>
        <bgColor rgb="FFE1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B5D3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1F5EE"/>
          <bgColor rgb="FF000000"/>
        </patternFill>
      </fill>
    </dxf>
    <dxf>
      <fill>
        <patternFill patternType="solid">
          <fgColor rgb="FFEEEDFE"/>
          <bgColor rgb="FF000000"/>
        </patternFill>
      </fill>
    </dxf>
    <dxf>
      <fill>
        <patternFill patternType="solid">
          <fgColor rgb="FFF1EFE8"/>
          <bgColor rgb="FF000000"/>
        </patternFill>
      </fill>
    </dxf>
    <dxf>
      <fill>
        <patternFill patternType="solid">
          <fgColor rgb="FF085041"/>
          <bgColor rgb="FF000000"/>
        </patternFill>
      </fill>
    </dxf>
    <dxf>
      <fill>
        <patternFill patternType="solid">
          <fgColor rgb="FF3C3489"/>
          <bgColor rgb="FF000000"/>
        </patternFill>
      </fill>
    </dxf>
    <dxf>
      <fill>
        <patternFill patternType="solid">
          <fgColor rgb="FF44444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5D3B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1EFE8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1EC"/>
      <rgbColor rgb="FFEEEDF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85041"/>
      <rgbColor rgb="FF339966"/>
      <rgbColor rgb="FF003300"/>
      <rgbColor rgb="FF333300"/>
      <rgbColor rgb="FF993300"/>
      <rgbColor rgb="FF993366"/>
      <rgbColor rgb="FF3C3489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4" min="3" style="0" width="20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5" t="s">
        <v>5</v>
      </c>
      <c r="B8" s="5" t="s">
        <v>6</v>
      </c>
      <c r="C8" s="5"/>
      <c r="D8" s="5"/>
      <c r="E8" s="5"/>
    </row>
    <row r="9" customFormat="false" ht="15" hidden="false" customHeight="false" outlineLevel="0" collapsed="false">
      <c r="A9" s="6" t="s">
        <v>7</v>
      </c>
      <c r="B9" s="7" t="n">
        <f aca="false">COUNTIF(Components!$F$5:$F$38,A9)</f>
        <v>3</v>
      </c>
    </row>
    <row r="10" customFormat="false" ht="15" hidden="false" customHeight="false" outlineLevel="0" collapsed="false">
      <c r="A10" s="8" t="s">
        <v>8</v>
      </c>
      <c r="B10" s="7" t="n">
        <f aca="false">COUNTIF(Components!$F$5:$F$38,A10)</f>
        <v>6</v>
      </c>
    </row>
    <row r="11" customFormat="false" ht="15" hidden="false" customHeight="false" outlineLevel="0" collapsed="false">
      <c r="A11" s="9" t="s">
        <v>9</v>
      </c>
      <c r="B11" s="7" t="n">
        <f aca="false">COUNTIF(Components!$F$5:$F$38,A11)</f>
        <v>12</v>
      </c>
    </row>
    <row r="12" customFormat="false" ht="15" hidden="false" customHeight="false" outlineLevel="0" collapsed="false">
      <c r="A12" s="9" t="s">
        <v>10</v>
      </c>
      <c r="B12" s="7" t="n">
        <f aca="false">COUNTIF(Components!$F$5:$F$38,A12)</f>
        <v>4</v>
      </c>
    </row>
    <row r="13" customFormat="false" ht="15" hidden="false" customHeight="false" outlineLevel="0" collapsed="false">
      <c r="A13" s="8" t="s">
        <v>11</v>
      </c>
      <c r="B13" s="7" t="n">
        <f aca="false">COUNTIF(Components!$F$5:$F$38,A13)</f>
        <v>8</v>
      </c>
    </row>
    <row r="14" customFormat="false" ht="15" hidden="false" customHeight="false" outlineLevel="0" collapsed="false">
      <c r="A14" s="6" t="s">
        <v>12</v>
      </c>
      <c r="B14" s="7" t="n">
        <f aca="false">COUNTIF(Components!$F$5:$F$38,A14)</f>
        <v>1</v>
      </c>
    </row>
    <row r="15" customFormat="false" ht="15" hidden="false" customHeight="false" outlineLevel="0" collapsed="false">
      <c r="A15" s="10" t="s">
        <v>13</v>
      </c>
      <c r="B15" s="10" t="n">
        <f aca="false">SUM(B9:B14)</f>
        <v>34</v>
      </c>
    </row>
    <row r="16" customFormat="false" ht="15" hidden="false" customHeight="false" outlineLevel="0" collapsed="false">
      <c r="A16" s="7" t="s">
        <v>14</v>
      </c>
      <c r="B16" s="7" t="str">
        <f aca="false">IF(B15=COUNTA(Components!$A$5:$A$38),"OK","MISMATCH")</f>
        <v>OK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5" t="s">
        <v>16</v>
      </c>
      <c r="B19" s="5" t="s">
        <v>6</v>
      </c>
      <c r="C19" s="5"/>
      <c r="D19" s="5"/>
      <c r="E19" s="5"/>
    </row>
    <row r="20" customFormat="false" ht="15" hidden="false" customHeight="false" outlineLevel="0" collapsed="false">
      <c r="A20" s="7" t="s">
        <v>17</v>
      </c>
      <c r="B20" s="7" t="n">
        <f aca="false">COUNTIF(Components!$B$5:$B$38,A20)</f>
        <v>4</v>
      </c>
    </row>
    <row r="21" customFormat="false" ht="15" hidden="false" customHeight="false" outlineLevel="0" collapsed="false">
      <c r="A21" s="7" t="s">
        <v>18</v>
      </c>
      <c r="B21" s="7" t="n">
        <f aca="false">COUNTIF(Components!$B$5:$B$38,A21)</f>
        <v>1</v>
      </c>
    </row>
    <row r="22" customFormat="false" ht="15" hidden="false" customHeight="false" outlineLevel="0" collapsed="false">
      <c r="A22" s="7" t="s">
        <v>19</v>
      </c>
      <c r="B22" s="7" t="n">
        <f aca="false">COUNTIF(Components!$B$5:$B$38,A22)</f>
        <v>8</v>
      </c>
    </row>
    <row r="23" customFormat="false" ht="15" hidden="false" customHeight="false" outlineLevel="0" collapsed="false">
      <c r="A23" s="7" t="s">
        <v>20</v>
      </c>
      <c r="B23" s="7" t="n">
        <f aca="false">COUNTIF(Components!$B$5:$B$38,A23)</f>
        <v>4</v>
      </c>
    </row>
    <row r="24" customFormat="false" ht="15" hidden="false" customHeight="false" outlineLevel="0" collapsed="false">
      <c r="A24" s="7" t="s">
        <v>21</v>
      </c>
      <c r="B24" s="7" t="n">
        <f aca="false">COUNTIF(Components!$B$5:$B$38,A24)</f>
        <v>4</v>
      </c>
    </row>
    <row r="25" customFormat="false" ht="15" hidden="false" customHeight="false" outlineLevel="0" collapsed="false">
      <c r="A25" s="7" t="s">
        <v>22</v>
      </c>
      <c r="B25" s="7" t="n">
        <f aca="false">COUNTIF(Components!$B$5:$B$38,A25)</f>
        <v>4</v>
      </c>
    </row>
    <row r="26" customFormat="false" ht="15" hidden="false" customHeight="false" outlineLevel="0" collapsed="false">
      <c r="A26" s="7" t="s">
        <v>23</v>
      </c>
      <c r="B26" s="7" t="n">
        <f aca="false">COUNTIF(Components!$B$5:$B$38,A26)</f>
        <v>8</v>
      </c>
    </row>
    <row r="27" customFormat="false" ht="15" hidden="false" customHeight="false" outlineLevel="0" collapsed="false">
      <c r="A27" s="7" t="s">
        <v>24</v>
      </c>
      <c r="B27" s="7" t="n">
        <f aca="false">COUNTIF(Components!$B$5:$B$38,A27)</f>
        <v>1</v>
      </c>
    </row>
    <row r="28" customFormat="false" ht="15" hidden="false" customHeight="false" outlineLevel="0" collapsed="false">
      <c r="A28" s="10" t="s">
        <v>25</v>
      </c>
      <c r="B28" s="10" t="n">
        <f aca="false">SUM(B20:B27)</f>
        <v>34</v>
      </c>
    </row>
    <row r="30" customFormat="false" ht="15" hidden="false" customHeight="false" outlineLevel="0" collapsed="false">
      <c r="A30" s="3" t="s">
        <v>26</v>
      </c>
    </row>
    <row r="31" customFormat="false" ht="15" hidden="false" customHeight="true" outlineLevel="0" collapsed="false">
      <c r="A31" s="7" t="s">
        <v>27</v>
      </c>
      <c r="B31" s="11" t="s">
        <v>28</v>
      </c>
      <c r="C31" s="11"/>
      <c r="D31" s="11"/>
      <c r="E31" s="11"/>
    </row>
    <row r="32" customFormat="false" ht="15" hidden="false" customHeight="true" outlineLevel="0" collapsed="false">
      <c r="A32" s="7" t="s">
        <v>29</v>
      </c>
      <c r="B32" s="11" t="s">
        <v>30</v>
      </c>
      <c r="C32" s="11"/>
      <c r="D32" s="11"/>
      <c r="E32" s="11"/>
    </row>
    <row r="33" customFormat="false" ht="15" hidden="false" customHeight="true" outlineLevel="0" collapsed="false">
      <c r="A33" s="7" t="s">
        <v>31</v>
      </c>
      <c r="B33" s="11" t="s">
        <v>32</v>
      </c>
      <c r="C33" s="11"/>
      <c r="D33" s="11"/>
      <c r="E33" s="11"/>
    </row>
    <row r="34" customFormat="false" ht="15" hidden="false" customHeight="true" outlineLevel="0" collapsed="false">
      <c r="A34" s="7" t="s">
        <v>33</v>
      </c>
      <c r="B34" s="11" t="s">
        <v>34</v>
      </c>
      <c r="C34" s="11"/>
      <c r="D34" s="11"/>
      <c r="E34" s="11"/>
    </row>
    <row r="35" customFormat="false" ht="15" hidden="false" customHeight="true" outlineLevel="0" collapsed="false">
      <c r="A35" s="7" t="s">
        <v>35</v>
      </c>
      <c r="B35" s="11" t="s">
        <v>36</v>
      </c>
      <c r="C35" s="11"/>
      <c r="D35" s="11"/>
      <c r="E35" s="11"/>
    </row>
    <row r="37" customFormat="false" ht="15" hidden="false" customHeight="false" outlineLevel="0" collapsed="false">
      <c r="A37" s="3" t="s">
        <v>37</v>
      </c>
    </row>
    <row r="38" customFormat="false" ht="15" hidden="false" customHeight="false" outlineLevel="0" collapsed="false">
      <c r="A38" s="12" t="s">
        <v>7</v>
      </c>
    </row>
    <row r="39" customFormat="false" ht="15" hidden="false" customHeight="false" outlineLevel="0" collapsed="false">
      <c r="A39" s="13" t="s">
        <v>8</v>
      </c>
    </row>
    <row r="40" customFormat="false" ht="15" hidden="false" customHeight="false" outlineLevel="0" collapsed="false">
      <c r="A40" s="14" t="s">
        <v>9</v>
      </c>
    </row>
    <row r="41" customFormat="false" ht="15" hidden="false" customHeight="false" outlineLevel="0" collapsed="false">
      <c r="A41" s="14" t="s">
        <v>10</v>
      </c>
    </row>
    <row r="42" customFormat="false" ht="15" hidden="false" customHeight="false" outlineLevel="0" collapsed="false">
      <c r="A42" s="13" t="s">
        <v>11</v>
      </c>
    </row>
    <row r="43" customFormat="false" ht="15" hidden="false" customHeight="false" outlineLevel="0" collapsed="false">
      <c r="A43" s="12" t="s">
        <v>12</v>
      </c>
    </row>
  </sheetData>
  <mergeCells count="6">
    <mergeCell ref="A5:E5"/>
    <mergeCell ref="B31:E31"/>
    <mergeCell ref="B32:E32"/>
    <mergeCell ref="B33:E33"/>
    <mergeCell ref="B34:E34"/>
    <mergeCell ref="B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62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28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24" hidden="false" customHeight="true" outlineLevel="0" collapsed="false">
      <c r="A4" s="5" t="s">
        <v>40</v>
      </c>
      <c r="B4" s="5" t="s">
        <v>16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</row>
    <row r="5" customFormat="false" ht="23.85" hidden="false" customHeight="false" outlineLevel="0" collapsed="false">
      <c r="A5" s="7" t="s">
        <v>47</v>
      </c>
      <c r="B5" s="7" t="s">
        <v>17</v>
      </c>
      <c r="C5" s="7" t="s">
        <v>48</v>
      </c>
      <c r="D5" s="7" t="s">
        <v>49</v>
      </c>
      <c r="E5" s="7" t="s">
        <v>50</v>
      </c>
      <c r="F5" s="9" t="s">
        <v>9</v>
      </c>
      <c r="G5" s="7" t="s">
        <v>51</v>
      </c>
      <c r="H5" s="7" t="s">
        <v>52</v>
      </c>
    </row>
    <row r="6" customFormat="false" ht="15" hidden="false" customHeight="false" outlineLevel="0" collapsed="false">
      <c r="A6" s="7" t="s">
        <v>53</v>
      </c>
      <c r="B6" s="7" t="s">
        <v>17</v>
      </c>
      <c r="C6" s="7" t="s">
        <v>54</v>
      </c>
      <c r="D6" s="7" t="s">
        <v>55</v>
      </c>
      <c r="E6" s="7" t="s">
        <v>56</v>
      </c>
      <c r="F6" s="9" t="s">
        <v>9</v>
      </c>
      <c r="G6" s="7" t="s">
        <v>57</v>
      </c>
      <c r="H6" s="7" t="s">
        <v>58</v>
      </c>
    </row>
    <row r="7" customFormat="false" ht="23.85" hidden="false" customHeight="false" outlineLevel="0" collapsed="false">
      <c r="A7" s="7" t="s">
        <v>59</v>
      </c>
      <c r="B7" s="7" t="s">
        <v>17</v>
      </c>
      <c r="C7" s="7" t="s">
        <v>60</v>
      </c>
      <c r="D7" s="7" t="s">
        <v>61</v>
      </c>
      <c r="E7" s="7" t="s">
        <v>62</v>
      </c>
      <c r="F7" s="9" t="s">
        <v>9</v>
      </c>
      <c r="G7" s="7" t="s">
        <v>51</v>
      </c>
      <c r="H7" s="7" t="s">
        <v>58</v>
      </c>
    </row>
    <row r="8" customFormat="false" ht="15" hidden="false" customHeight="false" outlineLevel="0" collapsed="false">
      <c r="A8" s="7" t="s">
        <v>63</v>
      </c>
      <c r="B8" s="7" t="s">
        <v>17</v>
      </c>
      <c r="C8" s="7" t="s">
        <v>64</v>
      </c>
      <c r="D8" s="7" t="s">
        <v>65</v>
      </c>
      <c r="E8" s="7" t="s">
        <v>66</v>
      </c>
      <c r="F8" s="9" t="s">
        <v>9</v>
      </c>
      <c r="G8" s="7" t="s">
        <v>57</v>
      </c>
      <c r="H8" s="7" t="s">
        <v>58</v>
      </c>
    </row>
    <row r="9" customFormat="false" ht="15" hidden="false" customHeight="false" outlineLevel="0" collapsed="false">
      <c r="A9" s="7" t="s">
        <v>67</v>
      </c>
      <c r="B9" s="7" t="s">
        <v>18</v>
      </c>
      <c r="C9" s="7" t="s">
        <v>68</v>
      </c>
      <c r="D9" s="7" t="s">
        <v>69</v>
      </c>
      <c r="E9" s="7" t="s">
        <v>70</v>
      </c>
      <c r="F9" s="9" t="s">
        <v>9</v>
      </c>
      <c r="G9" s="7" t="s">
        <v>51</v>
      </c>
      <c r="H9" s="7" t="s">
        <v>52</v>
      </c>
    </row>
    <row r="10" customFormat="false" ht="15" hidden="false" customHeight="false" outlineLevel="0" collapsed="false">
      <c r="A10" s="7" t="s">
        <v>71</v>
      </c>
      <c r="B10" s="7" t="s">
        <v>19</v>
      </c>
      <c r="C10" s="7" t="s">
        <v>72</v>
      </c>
      <c r="D10" s="7" t="s">
        <v>73</v>
      </c>
      <c r="E10" s="7" t="s">
        <v>74</v>
      </c>
      <c r="F10" s="8" t="s">
        <v>8</v>
      </c>
      <c r="G10" s="7" t="s">
        <v>51</v>
      </c>
      <c r="H10" s="7" t="s">
        <v>52</v>
      </c>
    </row>
    <row r="11" customFormat="false" ht="15" hidden="false" customHeight="false" outlineLevel="0" collapsed="false">
      <c r="A11" s="7" t="s">
        <v>75</v>
      </c>
      <c r="B11" s="7" t="s">
        <v>19</v>
      </c>
      <c r="C11" s="7" t="s">
        <v>76</v>
      </c>
      <c r="D11" s="7" t="s">
        <v>77</v>
      </c>
      <c r="E11" s="7" t="s">
        <v>78</v>
      </c>
      <c r="F11" s="8" t="s">
        <v>8</v>
      </c>
      <c r="G11" s="7" t="s">
        <v>51</v>
      </c>
      <c r="H11" s="7" t="s">
        <v>52</v>
      </c>
    </row>
    <row r="12" customFormat="false" ht="15" hidden="false" customHeight="false" outlineLevel="0" collapsed="false">
      <c r="A12" s="7" t="s">
        <v>79</v>
      </c>
      <c r="B12" s="7" t="s">
        <v>19</v>
      </c>
      <c r="C12" s="7" t="s">
        <v>80</v>
      </c>
      <c r="D12" s="7" t="s">
        <v>81</v>
      </c>
      <c r="E12" s="7" t="s">
        <v>82</v>
      </c>
      <c r="F12" s="8" t="s">
        <v>8</v>
      </c>
      <c r="G12" s="7" t="s">
        <v>51</v>
      </c>
      <c r="H12" s="7" t="s">
        <v>52</v>
      </c>
    </row>
    <row r="13" customFormat="false" ht="23.85" hidden="false" customHeight="false" outlineLevel="0" collapsed="false">
      <c r="A13" s="7" t="s">
        <v>83</v>
      </c>
      <c r="B13" s="7" t="s">
        <v>19</v>
      </c>
      <c r="C13" s="7" t="s">
        <v>84</v>
      </c>
      <c r="D13" s="7" t="s">
        <v>85</v>
      </c>
      <c r="E13" s="7" t="s">
        <v>86</v>
      </c>
      <c r="F13" s="8" t="s">
        <v>8</v>
      </c>
      <c r="G13" s="7" t="s">
        <v>57</v>
      </c>
      <c r="H13" s="7" t="s">
        <v>87</v>
      </c>
    </row>
    <row r="14" customFormat="false" ht="15" hidden="false" customHeight="false" outlineLevel="0" collapsed="false">
      <c r="A14" s="7" t="s">
        <v>88</v>
      </c>
      <c r="B14" s="7" t="s">
        <v>19</v>
      </c>
      <c r="C14" s="7" t="s">
        <v>89</v>
      </c>
      <c r="D14" s="7" t="s">
        <v>90</v>
      </c>
      <c r="E14" s="7" t="s">
        <v>91</v>
      </c>
      <c r="F14" s="8" t="s">
        <v>8</v>
      </c>
      <c r="G14" s="7" t="s">
        <v>51</v>
      </c>
      <c r="H14" s="7" t="s">
        <v>52</v>
      </c>
    </row>
    <row r="15" customFormat="false" ht="15" hidden="false" customHeight="false" outlineLevel="0" collapsed="false">
      <c r="A15" s="7" t="s">
        <v>92</v>
      </c>
      <c r="B15" s="7" t="s">
        <v>19</v>
      </c>
      <c r="C15" s="7" t="s">
        <v>93</v>
      </c>
      <c r="D15" s="7" t="s">
        <v>94</v>
      </c>
      <c r="E15" s="7" t="s">
        <v>95</v>
      </c>
      <c r="F15" s="6" t="s">
        <v>7</v>
      </c>
      <c r="G15" s="7" t="s">
        <v>57</v>
      </c>
      <c r="H15" s="7" t="s">
        <v>52</v>
      </c>
    </row>
    <row r="16" customFormat="false" ht="15" hidden="false" customHeight="false" outlineLevel="0" collapsed="false">
      <c r="A16" s="7" t="s">
        <v>96</v>
      </c>
      <c r="B16" s="7" t="s">
        <v>19</v>
      </c>
      <c r="C16" s="7" t="s">
        <v>97</v>
      </c>
      <c r="D16" s="7" t="s">
        <v>98</v>
      </c>
      <c r="E16" s="7" t="s">
        <v>99</v>
      </c>
      <c r="F16" s="6" t="s">
        <v>7</v>
      </c>
      <c r="G16" s="7" t="s">
        <v>57</v>
      </c>
      <c r="H16" s="7" t="s">
        <v>52</v>
      </c>
    </row>
    <row r="17" customFormat="false" ht="23.85" hidden="false" customHeight="false" outlineLevel="0" collapsed="false">
      <c r="A17" s="7" t="s">
        <v>100</v>
      </c>
      <c r="B17" s="7" t="s">
        <v>19</v>
      </c>
      <c r="C17" s="7" t="s">
        <v>101</v>
      </c>
      <c r="D17" s="7" t="s">
        <v>102</v>
      </c>
      <c r="E17" s="7" t="s">
        <v>103</v>
      </c>
      <c r="F17" s="6" t="s">
        <v>7</v>
      </c>
      <c r="G17" s="7" t="s">
        <v>57</v>
      </c>
      <c r="H17" s="7" t="s">
        <v>52</v>
      </c>
    </row>
    <row r="18" customFormat="false" ht="23.85" hidden="false" customHeight="false" outlineLevel="0" collapsed="false">
      <c r="A18" s="7" t="s">
        <v>104</v>
      </c>
      <c r="B18" s="7" t="s">
        <v>20</v>
      </c>
      <c r="C18" s="7" t="s">
        <v>105</v>
      </c>
      <c r="D18" s="7" t="s">
        <v>106</v>
      </c>
      <c r="E18" s="7" t="s">
        <v>107</v>
      </c>
      <c r="F18" s="8" t="s">
        <v>8</v>
      </c>
      <c r="G18" s="7" t="s">
        <v>108</v>
      </c>
      <c r="H18" s="7" t="s">
        <v>52</v>
      </c>
    </row>
    <row r="19" customFormat="false" ht="15" hidden="false" customHeight="false" outlineLevel="0" collapsed="false">
      <c r="A19" s="7" t="s">
        <v>109</v>
      </c>
      <c r="B19" s="7" t="s">
        <v>20</v>
      </c>
      <c r="C19" s="7" t="s">
        <v>110</v>
      </c>
      <c r="D19" s="7" t="s">
        <v>111</v>
      </c>
      <c r="E19" s="7" t="s">
        <v>112</v>
      </c>
      <c r="F19" s="9" t="s">
        <v>9</v>
      </c>
      <c r="G19" s="7" t="s">
        <v>51</v>
      </c>
      <c r="H19" s="7" t="s">
        <v>58</v>
      </c>
    </row>
    <row r="20" customFormat="false" ht="15" hidden="false" customHeight="false" outlineLevel="0" collapsed="false">
      <c r="A20" s="7" t="s">
        <v>113</v>
      </c>
      <c r="B20" s="7" t="s">
        <v>20</v>
      </c>
      <c r="C20" s="7" t="s">
        <v>114</v>
      </c>
      <c r="D20" s="7" t="s">
        <v>115</v>
      </c>
      <c r="E20" s="7" t="s">
        <v>116</v>
      </c>
      <c r="F20" s="9" t="s">
        <v>9</v>
      </c>
      <c r="G20" s="7" t="s">
        <v>51</v>
      </c>
      <c r="H20" s="7" t="s">
        <v>58</v>
      </c>
    </row>
    <row r="21" customFormat="false" ht="15" hidden="false" customHeight="false" outlineLevel="0" collapsed="false">
      <c r="A21" s="7" t="s">
        <v>117</v>
      </c>
      <c r="B21" s="7" t="s">
        <v>20</v>
      </c>
      <c r="C21" s="7" t="s">
        <v>118</v>
      </c>
      <c r="D21" s="7" t="s">
        <v>119</v>
      </c>
      <c r="E21" s="7" t="s">
        <v>120</v>
      </c>
      <c r="F21" s="9" t="s">
        <v>9</v>
      </c>
      <c r="G21" s="7" t="s">
        <v>51</v>
      </c>
      <c r="H21" s="7" t="s">
        <v>58</v>
      </c>
    </row>
    <row r="22" customFormat="false" ht="15" hidden="false" customHeight="false" outlineLevel="0" collapsed="false">
      <c r="A22" s="7" t="s">
        <v>121</v>
      </c>
      <c r="B22" s="7" t="s">
        <v>21</v>
      </c>
      <c r="C22" s="7" t="s">
        <v>122</v>
      </c>
      <c r="D22" s="7" t="s">
        <v>123</v>
      </c>
      <c r="E22" s="7" t="s">
        <v>124</v>
      </c>
      <c r="F22" s="9" t="s">
        <v>9</v>
      </c>
      <c r="G22" s="7" t="s">
        <v>51</v>
      </c>
      <c r="H22" s="7" t="s">
        <v>52</v>
      </c>
    </row>
    <row r="23" customFormat="false" ht="15" hidden="false" customHeight="false" outlineLevel="0" collapsed="false">
      <c r="A23" s="7" t="s">
        <v>125</v>
      </c>
      <c r="B23" s="7" t="s">
        <v>21</v>
      </c>
      <c r="C23" s="7" t="s">
        <v>126</v>
      </c>
      <c r="D23" s="7" t="s">
        <v>127</v>
      </c>
      <c r="E23" s="7" t="s">
        <v>128</v>
      </c>
      <c r="F23" s="9" t="s">
        <v>9</v>
      </c>
      <c r="G23" s="7" t="s">
        <v>51</v>
      </c>
      <c r="H23" s="7" t="s">
        <v>52</v>
      </c>
    </row>
    <row r="24" customFormat="false" ht="15" hidden="false" customHeight="false" outlineLevel="0" collapsed="false">
      <c r="A24" s="7" t="s">
        <v>129</v>
      </c>
      <c r="B24" s="7" t="s">
        <v>21</v>
      </c>
      <c r="C24" s="7" t="s">
        <v>130</v>
      </c>
      <c r="D24" s="7" t="s">
        <v>131</v>
      </c>
      <c r="E24" s="7" t="s">
        <v>132</v>
      </c>
      <c r="F24" s="9" t="s">
        <v>9</v>
      </c>
      <c r="G24" s="7" t="s">
        <v>108</v>
      </c>
      <c r="H24" s="7" t="s">
        <v>52</v>
      </c>
    </row>
    <row r="25" customFormat="false" ht="15" hidden="false" customHeight="false" outlineLevel="0" collapsed="false">
      <c r="A25" s="7" t="s">
        <v>133</v>
      </c>
      <c r="B25" s="7" t="s">
        <v>21</v>
      </c>
      <c r="C25" s="7" t="s">
        <v>134</v>
      </c>
      <c r="D25" s="7" t="s">
        <v>135</v>
      </c>
      <c r="E25" s="7" t="s">
        <v>136</v>
      </c>
      <c r="F25" s="9" t="s">
        <v>9</v>
      </c>
      <c r="G25" s="7" t="s">
        <v>51</v>
      </c>
      <c r="H25" s="7" t="s">
        <v>52</v>
      </c>
    </row>
    <row r="26" customFormat="false" ht="15" hidden="false" customHeight="false" outlineLevel="0" collapsed="false">
      <c r="A26" s="7" t="s">
        <v>137</v>
      </c>
      <c r="B26" s="7" t="s">
        <v>22</v>
      </c>
      <c r="C26" s="7" t="s">
        <v>138</v>
      </c>
      <c r="D26" s="7" t="s">
        <v>94</v>
      </c>
      <c r="E26" s="7" t="s">
        <v>139</v>
      </c>
      <c r="F26" s="9" t="s">
        <v>10</v>
      </c>
      <c r="G26" s="7" t="s">
        <v>57</v>
      </c>
      <c r="H26" s="7" t="s">
        <v>52</v>
      </c>
    </row>
    <row r="27" customFormat="false" ht="15" hidden="false" customHeight="false" outlineLevel="0" collapsed="false">
      <c r="A27" s="7" t="s">
        <v>140</v>
      </c>
      <c r="B27" s="7" t="s">
        <v>22</v>
      </c>
      <c r="C27" s="7" t="s">
        <v>141</v>
      </c>
      <c r="D27" s="7" t="s">
        <v>142</v>
      </c>
      <c r="E27" s="7" t="s">
        <v>143</v>
      </c>
      <c r="F27" s="9" t="s">
        <v>10</v>
      </c>
      <c r="G27" s="7" t="s">
        <v>57</v>
      </c>
      <c r="H27" s="7" t="s">
        <v>58</v>
      </c>
    </row>
    <row r="28" customFormat="false" ht="15" hidden="false" customHeight="false" outlineLevel="0" collapsed="false">
      <c r="A28" s="7" t="s">
        <v>144</v>
      </c>
      <c r="B28" s="7" t="s">
        <v>22</v>
      </c>
      <c r="C28" s="7" t="s">
        <v>145</v>
      </c>
      <c r="D28" s="7" t="s">
        <v>146</v>
      </c>
      <c r="E28" s="7" t="s">
        <v>147</v>
      </c>
      <c r="F28" s="9" t="s">
        <v>10</v>
      </c>
      <c r="G28" s="7" t="s">
        <v>51</v>
      </c>
      <c r="H28" s="7" t="s">
        <v>58</v>
      </c>
    </row>
    <row r="29" customFormat="false" ht="15" hidden="false" customHeight="false" outlineLevel="0" collapsed="false">
      <c r="A29" s="7" t="s">
        <v>148</v>
      </c>
      <c r="B29" s="7" t="s">
        <v>22</v>
      </c>
      <c r="C29" s="7" t="s">
        <v>149</v>
      </c>
      <c r="D29" s="7" t="s">
        <v>111</v>
      </c>
      <c r="E29" s="7" t="s">
        <v>150</v>
      </c>
      <c r="F29" s="9" t="s">
        <v>10</v>
      </c>
      <c r="G29" s="7" t="s">
        <v>51</v>
      </c>
      <c r="H29" s="7" t="s">
        <v>58</v>
      </c>
    </row>
    <row r="30" customFormat="false" ht="15" hidden="false" customHeight="false" outlineLevel="0" collapsed="false">
      <c r="A30" s="7" t="s">
        <v>151</v>
      </c>
      <c r="B30" s="7" t="s">
        <v>23</v>
      </c>
      <c r="C30" s="7" t="s">
        <v>152</v>
      </c>
      <c r="D30" s="7" t="s">
        <v>153</v>
      </c>
      <c r="E30" s="7" t="s">
        <v>154</v>
      </c>
      <c r="F30" s="8" t="s">
        <v>11</v>
      </c>
      <c r="G30" s="7" t="s">
        <v>51</v>
      </c>
      <c r="H30" s="7" t="s">
        <v>52</v>
      </c>
    </row>
    <row r="31" customFormat="false" ht="15" hidden="false" customHeight="false" outlineLevel="0" collapsed="false">
      <c r="A31" s="7" t="s">
        <v>155</v>
      </c>
      <c r="B31" s="7" t="s">
        <v>23</v>
      </c>
      <c r="C31" s="7" t="s">
        <v>156</v>
      </c>
      <c r="D31" s="7" t="s">
        <v>157</v>
      </c>
      <c r="E31" s="7" t="s">
        <v>158</v>
      </c>
      <c r="F31" s="8" t="s">
        <v>11</v>
      </c>
      <c r="G31" s="7" t="s">
        <v>51</v>
      </c>
      <c r="H31" s="7" t="s">
        <v>52</v>
      </c>
    </row>
    <row r="32" customFormat="false" ht="15" hidden="false" customHeight="false" outlineLevel="0" collapsed="false">
      <c r="A32" s="7" t="s">
        <v>159</v>
      </c>
      <c r="B32" s="7" t="s">
        <v>23</v>
      </c>
      <c r="C32" s="7" t="s">
        <v>160</v>
      </c>
      <c r="D32" s="7" t="s">
        <v>161</v>
      </c>
      <c r="E32" s="7" t="s">
        <v>162</v>
      </c>
      <c r="F32" s="8" t="s">
        <v>11</v>
      </c>
      <c r="G32" s="7" t="s">
        <v>51</v>
      </c>
      <c r="H32" s="7" t="s">
        <v>52</v>
      </c>
    </row>
    <row r="33" customFormat="false" ht="15" hidden="false" customHeight="false" outlineLevel="0" collapsed="false">
      <c r="A33" s="7" t="s">
        <v>163</v>
      </c>
      <c r="B33" s="7" t="s">
        <v>23</v>
      </c>
      <c r="C33" s="7" t="s">
        <v>164</v>
      </c>
      <c r="D33" s="7" t="s">
        <v>165</v>
      </c>
      <c r="E33" s="7" t="s">
        <v>166</v>
      </c>
      <c r="F33" s="8" t="s">
        <v>11</v>
      </c>
      <c r="G33" s="7" t="s">
        <v>51</v>
      </c>
      <c r="H33" s="7" t="s">
        <v>52</v>
      </c>
    </row>
    <row r="34" customFormat="false" ht="15" hidden="false" customHeight="false" outlineLevel="0" collapsed="false">
      <c r="A34" s="7" t="s">
        <v>167</v>
      </c>
      <c r="B34" s="7" t="s">
        <v>23</v>
      </c>
      <c r="C34" s="7" t="s">
        <v>168</v>
      </c>
      <c r="D34" s="7" t="s">
        <v>169</v>
      </c>
      <c r="E34" s="7" t="s">
        <v>170</v>
      </c>
      <c r="F34" s="8" t="s">
        <v>11</v>
      </c>
      <c r="G34" s="7" t="s">
        <v>51</v>
      </c>
      <c r="H34" s="7" t="s">
        <v>52</v>
      </c>
    </row>
    <row r="35" customFormat="false" ht="15" hidden="false" customHeight="false" outlineLevel="0" collapsed="false">
      <c r="A35" s="7" t="s">
        <v>171</v>
      </c>
      <c r="B35" s="7" t="s">
        <v>23</v>
      </c>
      <c r="C35" s="7" t="s">
        <v>172</v>
      </c>
      <c r="D35" s="7" t="s">
        <v>173</v>
      </c>
      <c r="E35" s="7" t="s">
        <v>174</v>
      </c>
      <c r="F35" s="8" t="s">
        <v>11</v>
      </c>
      <c r="G35" s="7" t="s">
        <v>51</v>
      </c>
      <c r="H35" s="7" t="s">
        <v>52</v>
      </c>
    </row>
    <row r="36" customFormat="false" ht="15" hidden="false" customHeight="false" outlineLevel="0" collapsed="false">
      <c r="A36" s="7" t="s">
        <v>175</v>
      </c>
      <c r="B36" s="7" t="s">
        <v>23</v>
      </c>
      <c r="C36" s="7" t="s">
        <v>176</v>
      </c>
      <c r="D36" s="7" t="s">
        <v>177</v>
      </c>
      <c r="E36" s="7" t="s">
        <v>177</v>
      </c>
      <c r="F36" s="8" t="s">
        <v>11</v>
      </c>
      <c r="G36" s="7" t="s">
        <v>51</v>
      </c>
      <c r="H36" s="7" t="s">
        <v>52</v>
      </c>
    </row>
    <row r="37" customFormat="false" ht="15" hidden="false" customHeight="false" outlineLevel="0" collapsed="false">
      <c r="A37" s="7" t="s">
        <v>178</v>
      </c>
      <c r="B37" s="7" t="s">
        <v>23</v>
      </c>
      <c r="C37" s="7" t="s">
        <v>179</v>
      </c>
      <c r="D37" s="7" t="s">
        <v>180</v>
      </c>
      <c r="E37" s="7" t="s">
        <v>181</v>
      </c>
      <c r="F37" s="8" t="s">
        <v>11</v>
      </c>
      <c r="G37" s="7" t="s">
        <v>57</v>
      </c>
      <c r="H37" s="7" t="s">
        <v>58</v>
      </c>
    </row>
    <row r="38" customFormat="false" ht="15" hidden="false" customHeight="false" outlineLevel="0" collapsed="false">
      <c r="A38" s="7" t="s">
        <v>182</v>
      </c>
      <c r="B38" s="7" t="s">
        <v>24</v>
      </c>
      <c r="C38" s="7" t="s">
        <v>183</v>
      </c>
      <c r="D38" s="7" t="s">
        <v>184</v>
      </c>
      <c r="E38" s="7" t="s">
        <v>185</v>
      </c>
      <c r="F38" s="6" t="s">
        <v>12</v>
      </c>
      <c r="G38" s="7" t="s">
        <v>51</v>
      </c>
      <c r="H38" s="7" t="s">
        <v>52</v>
      </c>
    </row>
    <row r="40" customFormat="false" ht="15" hidden="false" customHeight="false" outlineLevel="0" collapsed="false">
      <c r="A40" s="2" t="s">
        <v>186</v>
      </c>
    </row>
  </sheetData>
  <autoFilter ref="A4:H3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4"/>
    <col collapsed="false" customWidth="true" hidden="false" outlineLevel="0" max="3" min="3" style="0" width="60"/>
    <col collapsed="false" customWidth="true" hidden="false" outlineLevel="0" max="4" min="4" style="0" width="44"/>
  </cols>
  <sheetData>
    <row r="1" customFormat="false" ht="17.35" hidden="false" customHeight="false" outlineLevel="0" collapsed="false">
      <c r="A1" s="1" t="s">
        <v>187</v>
      </c>
    </row>
    <row r="2" customFormat="false" ht="15" hidden="false" customHeight="false" outlineLevel="0" collapsed="false">
      <c r="A2" s="2" t="s">
        <v>188</v>
      </c>
    </row>
    <row r="4" customFormat="false" ht="15" hidden="false" customHeight="false" outlineLevel="0" collapsed="false">
      <c r="A4" s="5" t="s">
        <v>16</v>
      </c>
      <c r="B4" s="5" t="s">
        <v>189</v>
      </c>
      <c r="C4" s="5" t="s">
        <v>190</v>
      </c>
      <c r="D4" s="5" t="s">
        <v>191</v>
      </c>
    </row>
    <row r="5" customFormat="false" ht="23.85" hidden="false" customHeight="false" outlineLevel="0" collapsed="false">
      <c r="A5" s="7" t="s">
        <v>192</v>
      </c>
      <c r="B5" s="7" t="s">
        <v>193</v>
      </c>
      <c r="C5" s="7" t="s">
        <v>194</v>
      </c>
      <c r="D5" s="7" t="s">
        <v>195</v>
      </c>
    </row>
    <row r="6" customFormat="false" ht="23.85" hidden="false" customHeight="false" outlineLevel="0" collapsed="false">
      <c r="A6" s="7" t="s">
        <v>196</v>
      </c>
      <c r="B6" s="7" t="s">
        <v>197</v>
      </c>
      <c r="C6" s="7" t="s">
        <v>198</v>
      </c>
      <c r="D6" s="7" t="s">
        <v>199</v>
      </c>
    </row>
    <row r="7" customFormat="false" ht="23.85" hidden="false" customHeight="false" outlineLevel="0" collapsed="false">
      <c r="A7" s="7" t="s">
        <v>200</v>
      </c>
      <c r="B7" s="7" t="s">
        <v>122</v>
      </c>
      <c r="C7" s="7" t="s">
        <v>201</v>
      </c>
      <c r="D7" s="7" t="s">
        <v>202</v>
      </c>
    </row>
    <row r="8" customFormat="false" ht="15" hidden="false" customHeight="false" outlineLevel="0" collapsed="false">
      <c r="A8" s="7" t="s">
        <v>203</v>
      </c>
      <c r="B8" s="7" t="s">
        <v>204</v>
      </c>
      <c r="C8" s="7" t="s">
        <v>205</v>
      </c>
      <c r="D8" s="7" t="s">
        <v>206</v>
      </c>
    </row>
    <row r="9" customFormat="false" ht="23.85" hidden="false" customHeight="false" outlineLevel="0" collapsed="false">
      <c r="A9" s="7" t="s">
        <v>23</v>
      </c>
      <c r="B9" s="7" t="s">
        <v>207</v>
      </c>
      <c r="C9" s="7" t="s">
        <v>208</v>
      </c>
      <c r="D9" s="7" t="s">
        <v>209</v>
      </c>
    </row>
    <row r="10" customFormat="false" ht="23.85" hidden="false" customHeight="false" outlineLevel="0" collapsed="false">
      <c r="A10" s="7" t="s">
        <v>210</v>
      </c>
      <c r="B10" s="7" t="s">
        <v>211</v>
      </c>
      <c r="C10" s="7" t="s">
        <v>212</v>
      </c>
      <c r="D10" s="7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48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58"/>
  </cols>
  <sheetData>
    <row r="1" customFormat="false" ht="17.35" hidden="false" customHeight="false" outlineLevel="0" collapsed="false">
      <c r="A1" s="1" t="s">
        <v>214</v>
      </c>
    </row>
    <row r="2" customFormat="false" ht="15" hidden="false" customHeight="false" outlineLevel="0" collapsed="false">
      <c r="A2" s="2" t="s">
        <v>215</v>
      </c>
    </row>
    <row r="4" customFormat="false" ht="15" hidden="false" customHeight="false" outlineLevel="0" collapsed="false">
      <c r="A4" s="5" t="s">
        <v>216</v>
      </c>
      <c r="B4" s="5" t="s">
        <v>217</v>
      </c>
      <c r="C4" s="5" t="s">
        <v>2</v>
      </c>
      <c r="D4" s="5" t="s">
        <v>218</v>
      </c>
      <c r="E4" s="5" t="s">
        <v>45</v>
      </c>
      <c r="F4" s="5" t="s">
        <v>219</v>
      </c>
    </row>
    <row r="5" customFormat="false" ht="23.85" hidden="false" customHeight="false" outlineLevel="0" collapsed="false">
      <c r="A5" s="7" t="s">
        <v>138</v>
      </c>
      <c r="B5" s="7" t="s">
        <v>220</v>
      </c>
      <c r="C5" s="7" t="s">
        <v>221</v>
      </c>
      <c r="D5" s="7" t="s">
        <v>222</v>
      </c>
      <c r="E5" s="7" t="s">
        <v>57</v>
      </c>
      <c r="F5" s="7" t="s">
        <v>223</v>
      </c>
    </row>
    <row r="6" customFormat="false" ht="23.85" hidden="false" customHeight="false" outlineLevel="0" collapsed="false">
      <c r="A6" s="7" t="s">
        <v>141</v>
      </c>
      <c r="B6" s="7" t="s">
        <v>220</v>
      </c>
      <c r="C6" s="7" t="s">
        <v>224</v>
      </c>
      <c r="D6" s="7" t="s">
        <v>225</v>
      </c>
      <c r="E6" s="7" t="s">
        <v>57</v>
      </c>
      <c r="F6" s="7" t="s">
        <v>226</v>
      </c>
    </row>
    <row r="7" customFormat="false" ht="15" hidden="false" customHeight="false" outlineLevel="0" collapsed="false">
      <c r="A7" s="7" t="s">
        <v>145</v>
      </c>
      <c r="B7" s="7" t="s">
        <v>227</v>
      </c>
      <c r="C7" s="7" t="s">
        <v>228</v>
      </c>
      <c r="D7" s="7" t="s">
        <v>229</v>
      </c>
      <c r="E7" s="7" t="s">
        <v>51</v>
      </c>
      <c r="F7" s="7" t="s">
        <v>230</v>
      </c>
    </row>
    <row r="8" customFormat="false" ht="15" hidden="false" customHeight="false" outlineLevel="0" collapsed="false">
      <c r="A8" s="7" t="s">
        <v>149</v>
      </c>
      <c r="B8" s="7" t="s">
        <v>231</v>
      </c>
      <c r="C8" s="7" t="s">
        <v>232</v>
      </c>
      <c r="D8" s="7" t="s">
        <v>233</v>
      </c>
      <c r="E8" s="7" t="s">
        <v>51</v>
      </c>
      <c r="F8" s="7" t="s">
        <v>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4" min="4" style="0" width="20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235</v>
      </c>
    </row>
    <row r="2" customFormat="false" ht="15" hidden="false" customHeight="false" outlineLevel="0" collapsed="false">
      <c r="A2" s="2" t="s">
        <v>236</v>
      </c>
    </row>
    <row r="4" customFormat="false" ht="15" hidden="false" customHeight="false" outlineLevel="0" collapsed="false">
      <c r="A4" s="5" t="s">
        <v>45</v>
      </c>
      <c r="B4" s="5" t="s">
        <v>237</v>
      </c>
      <c r="C4" s="5" t="s">
        <v>238</v>
      </c>
      <c r="D4" s="5" t="s">
        <v>239</v>
      </c>
      <c r="E4" s="5" t="s">
        <v>240</v>
      </c>
    </row>
    <row r="5" customFormat="false" ht="23.85" hidden="false" customHeight="false" outlineLevel="0" collapsed="false">
      <c r="A5" s="7" t="s">
        <v>51</v>
      </c>
      <c r="B5" s="7" t="s">
        <v>241</v>
      </c>
      <c r="C5" s="7" t="s">
        <v>242</v>
      </c>
      <c r="D5" s="7" t="n">
        <f aca="false">COUNTIF(Components!$G$5:$G$38,A5)</f>
        <v>23</v>
      </c>
      <c r="E5" s="7" t="n">
        <f aca="false">SUM($D$5:D5)</f>
        <v>23</v>
      </c>
    </row>
    <row r="6" customFormat="false" ht="23.85" hidden="false" customHeight="false" outlineLevel="0" collapsed="false">
      <c r="A6" s="7" t="s">
        <v>57</v>
      </c>
      <c r="B6" s="7" t="s">
        <v>243</v>
      </c>
      <c r="C6" s="7" t="s">
        <v>244</v>
      </c>
      <c r="D6" s="7" t="n">
        <f aca="false">COUNTIF(Components!$G$5:$G$38,A6)</f>
        <v>9</v>
      </c>
      <c r="E6" s="7" t="n">
        <f aca="false">SUM($D$5:D6)</f>
        <v>32</v>
      </c>
    </row>
    <row r="7" customFormat="false" ht="15" hidden="false" customHeight="false" outlineLevel="0" collapsed="false">
      <c r="A7" s="7" t="s">
        <v>108</v>
      </c>
      <c r="B7" s="7" t="s">
        <v>245</v>
      </c>
      <c r="C7" s="7" t="s">
        <v>246</v>
      </c>
      <c r="D7" s="7" t="n">
        <f aca="false">COUNTIF(Components!$G$5:$G$38,A7)</f>
        <v>2</v>
      </c>
      <c r="E7" s="7" t="n">
        <f aca="false">SUM($D$5:D7)</f>
        <v>34</v>
      </c>
    </row>
    <row r="8" customFormat="false" ht="15" hidden="false" customHeight="false" outlineLevel="0" collapsed="false">
      <c r="A8" s="10" t="s">
        <v>25</v>
      </c>
      <c r="B8" s="10"/>
      <c r="C8" s="10"/>
      <c r="D8" s="10" t="n">
        <f aca="false">SUM(D5:D7)</f>
        <v>34</v>
      </c>
      <c r="E8" s="10"/>
    </row>
    <row r="9" customFormat="false" ht="15" hidden="false" customHeight="false" outlineLevel="0" collapsed="false">
      <c r="A9" s="7" t="s">
        <v>247</v>
      </c>
      <c r="B9" s="7"/>
      <c r="C9" s="7"/>
      <c r="D9" s="7" t="str">
        <f aca="false">IF(D8=COUNTA(Components!$A$5:$A$38),"OK","MISMATCH")</f>
        <v>OK</v>
      </c>
      <c r="E9" s="7"/>
    </row>
    <row r="11" customFormat="false" ht="15" hidden="false" customHeight="false" outlineLevel="0" collapsed="false">
      <c r="A11" s="2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70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249</v>
      </c>
    </row>
    <row r="2" customFormat="false" ht="15" hidden="false" customHeight="false" outlineLevel="0" collapsed="false">
      <c r="A2" s="2" t="s">
        <v>250</v>
      </c>
    </row>
    <row r="4" customFormat="false" ht="15" hidden="false" customHeight="false" outlineLevel="0" collapsed="false">
      <c r="A4" s="5" t="s">
        <v>251</v>
      </c>
      <c r="B4" s="5" t="s">
        <v>252</v>
      </c>
      <c r="C4" s="5" t="s">
        <v>253</v>
      </c>
      <c r="D4" s="5" t="s">
        <v>254</v>
      </c>
    </row>
    <row r="5" customFormat="false" ht="23.85" hidden="false" customHeight="false" outlineLevel="0" collapsed="false">
      <c r="A5" s="7" t="n">
        <v>1</v>
      </c>
      <c r="B5" s="7" t="s">
        <v>255</v>
      </c>
      <c r="C5" s="7" t="s">
        <v>256</v>
      </c>
      <c r="D5" s="7" t="s">
        <v>257</v>
      </c>
    </row>
    <row r="6" customFormat="false" ht="23.85" hidden="false" customHeight="false" outlineLevel="0" collapsed="false">
      <c r="A6" s="7" t="n">
        <v>2</v>
      </c>
      <c r="B6" s="7" t="s">
        <v>258</v>
      </c>
      <c r="C6" s="7" t="s">
        <v>259</v>
      </c>
      <c r="D6" s="7" t="s">
        <v>260</v>
      </c>
    </row>
    <row r="7" customFormat="false" ht="15" hidden="false" customHeight="false" outlineLevel="0" collapsed="false">
      <c r="A7" s="7" t="n">
        <v>3</v>
      </c>
      <c r="B7" s="7" t="s">
        <v>261</v>
      </c>
      <c r="C7" s="7" t="s">
        <v>262</v>
      </c>
      <c r="D7" s="7" t="s">
        <v>263</v>
      </c>
    </row>
    <row r="8" customFormat="false" ht="23.85" hidden="false" customHeight="false" outlineLevel="0" collapsed="false">
      <c r="A8" s="7" t="n">
        <v>4</v>
      </c>
      <c r="B8" s="7" t="s">
        <v>264</v>
      </c>
      <c r="C8" s="7" t="s">
        <v>265</v>
      </c>
      <c r="D8" s="7" t="s">
        <v>266</v>
      </c>
    </row>
    <row r="9" customFormat="false" ht="35.05" hidden="false" customHeight="false" outlineLevel="0" collapsed="false">
      <c r="A9" s="7" t="n">
        <v>5</v>
      </c>
      <c r="B9" s="7" t="s">
        <v>101</v>
      </c>
      <c r="C9" s="7" t="s">
        <v>267</v>
      </c>
      <c r="D9" s="7" t="s">
        <v>268</v>
      </c>
    </row>
    <row r="10" customFormat="false" ht="23.85" hidden="false" customHeight="false" outlineLevel="0" collapsed="false">
      <c r="A10" s="7" t="n">
        <v>6</v>
      </c>
      <c r="B10" s="7" t="s">
        <v>269</v>
      </c>
      <c r="C10" s="7" t="s">
        <v>270</v>
      </c>
      <c r="D10" s="7" t="s">
        <v>271</v>
      </c>
    </row>
    <row r="11" customFormat="false" ht="15" hidden="false" customHeight="false" outlineLevel="0" collapsed="false">
      <c r="A11" s="7" t="n">
        <v>7</v>
      </c>
      <c r="B11" s="7" t="s">
        <v>272</v>
      </c>
      <c r="C11" s="7" t="s">
        <v>273</v>
      </c>
      <c r="D11" s="7" t="s">
        <v>274</v>
      </c>
    </row>
    <row r="12" customFormat="false" ht="23.85" hidden="false" customHeight="false" outlineLevel="0" collapsed="false">
      <c r="A12" s="7" t="n">
        <v>8</v>
      </c>
      <c r="B12" s="7" t="s">
        <v>275</v>
      </c>
      <c r="C12" s="7" t="s">
        <v>276</v>
      </c>
      <c r="D12" s="7" t="s">
        <v>277</v>
      </c>
    </row>
    <row r="13" customFormat="false" ht="23.85" hidden="false" customHeight="false" outlineLevel="0" collapsed="false">
      <c r="A13" s="7" t="n">
        <v>9</v>
      </c>
      <c r="B13" s="7" t="s">
        <v>33</v>
      </c>
      <c r="C13" s="7" t="s">
        <v>278</v>
      </c>
      <c r="D13" s="7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2026-10-25T13:30:45Z</dcterms:created>
  <dc:creator>openpyxl</dc:creator>
  <dc:description/>
  <dc:language>en-US</dc:language>
  <cp:lastModifiedBy/>
  <dcterms:modified xsi:type="dcterms:W3CDTF">2026-10-25T13:30:45Z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